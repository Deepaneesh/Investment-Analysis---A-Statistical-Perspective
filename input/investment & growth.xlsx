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urse &amp; Studies\Software\work area\Repos\Investment Analysis - A Statistical Perspective\input\"/>
    </mc:Choice>
  </mc:AlternateContent>
  <xr:revisionPtr revIDLastSave="0" documentId="13_ncr:1_{A16C0E66-13F1-49CF-A928-840D9C3F59A9}" xr6:coauthVersionLast="47" xr6:coauthVersionMax="47" xr10:uidLastSave="{00000000-0000-0000-0000-000000000000}"/>
  <bookViews>
    <workbookView xWindow="-98" yWindow="-98" windowWidth="24196" windowHeight="14476" activeTab="2" xr2:uid="{C4A2AE80-0629-47E2-9608-DEE60C8860FC}"/>
  </bookViews>
  <sheets>
    <sheet name="investment" sheetId="1" r:id="rId1"/>
    <sheet name="growth" sheetId="2" r:id="rId2"/>
    <sheet name="len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H3" i="1"/>
  <c r="H4" i="1"/>
  <c r="H5" i="1"/>
  <c r="K5" i="1" s="1"/>
  <c r="H6" i="1"/>
  <c r="K6" i="1" s="1"/>
  <c r="H7" i="1"/>
  <c r="K7" i="1" s="1"/>
  <c r="H8" i="1"/>
  <c r="K8" i="1" s="1"/>
  <c r="H9" i="1"/>
  <c r="K9" i="1" s="1"/>
  <c r="H10" i="1"/>
  <c r="K10" i="1" s="1"/>
  <c r="H11" i="1"/>
  <c r="H12" i="1"/>
  <c r="H13" i="1"/>
  <c r="K13" i="1" s="1"/>
  <c r="H14" i="1"/>
  <c r="K14" i="1" s="1"/>
  <c r="H15" i="1"/>
  <c r="K15" i="1" s="1"/>
  <c r="H16" i="1"/>
  <c r="K16" i="1" s="1"/>
  <c r="H17" i="1"/>
  <c r="K17" i="1" s="1"/>
  <c r="H18" i="1"/>
  <c r="K18" i="1" s="1"/>
  <c r="H19" i="1"/>
  <c r="H20" i="1"/>
  <c r="H21" i="1"/>
  <c r="K21" i="1" s="1"/>
  <c r="H22" i="1"/>
  <c r="K22" i="1" s="1"/>
  <c r="H23" i="1"/>
  <c r="K23" i="1" s="1"/>
  <c r="H24" i="1"/>
  <c r="K24" i="1" s="1"/>
  <c r="H25" i="1"/>
  <c r="K25" i="1" s="1"/>
  <c r="H26" i="1"/>
  <c r="K26" i="1" s="1"/>
  <c r="H27" i="1"/>
  <c r="H28" i="1"/>
  <c r="H29" i="1"/>
  <c r="K29" i="1" s="1"/>
  <c r="H3" i="2"/>
  <c r="K3" i="2" s="1"/>
  <c r="H4" i="2"/>
  <c r="K4" i="2" s="1"/>
  <c r="H5" i="2"/>
  <c r="K5" i="2" s="1"/>
  <c r="H6" i="2"/>
  <c r="K6" i="2" s="1"/>
  <c r="H7" i="2"/>
  <c r="K7" i="2" s="1"/>
  <c r="H8" i="2"/>
  <c r="K8" i="2" s="1"/>
  <c r="H9" i="2"/>
  <c r="K9" i="2" s="1"/>
  <c r="H10" i="2"/>
  <c r="K10" i="2" s="1"/>
  <c r="H11" i="2"/>
  <c r="K11" i="2" s="1"/>
  <c r="H12" i="2"/>
  <c r="K12" i="2" s="1"/>
  <c r="H13" i="2"/>
  <c r="K13" i="2" s="1"/>
  <c r="H14" i="2"/>
  <c r="K14" i="2" s="1"/>
  <c r="H15" i="2"/>
  <c r="K15" i="2" s="1"/>
  <c r="H16" i="2"/>
  <c r="K16" i="2" s="1"/>
  <c r="H17" i="2"/>
  <c r="K17" i="2" s="1"/>
  <c r="H18" i="2"/>
  <c r="K18" i="2" s="1"/>
  <c r="H19" i="2"/>
  <c r="K19" i="2" s="1"/>
  <c r="H20" i="2"/>
  <c r="K20" i="2" s="1"/>
  <c r="H21" i="2"/>
  <c r="K21" i="2" s="1"/>
  <c r="H22" i="2"/>
  <c r="K22" i="2" s="1"/>
  <c r="H23" i="2"/>
  <c r="K23" i="2" s="1"/>
  <c r="H24" i="2"/>
  <c r="K24" i="2" s="1"/>
  <c r="H25" i="2"/>
  <c r="K25" i="2" s="1"/>
  <c r="H26" i="2"/>
  <c r="K26" i="2" s="1"/>
  <c r="H27" i="2"/>
  <c r="K27" i="2" s="1"/>
  <c r="H28" i="2"/>
  <c r="K28" i="2" s="1"/>
  <c r="H29" i="2"/>
  <c r="K29" i="2" s="1"/>
  <c r="K3" i="1"/>
  <c r="K4" i="1"/>
  <c r="K11" i="1"/>
  <c r="K12" i="1"/>
  <c r="K19" i="1"/>
  <c r="K20" i="1"/>
  <c r="K27" i="1"/>
  <c r="K28" i="1"/>
  <c r="K2" i="1"/>
  <c r="L8" i="1" s="1"/>
  <c r="H2" i="2"/>
  <c r="K2" i="2" s="1"/>
  <c r="H2" i="1"/>
  <c r="L29" i="1" l="1"/>
  <c r="L13" i="1"/>
  <c r="L28" i="1"/>
  <c r="L27" i="1"/>
  <c r="L19" i="1"/>
  <c r="L11" i="1"/>
  <c r="L15" i="1"/>
  <c r="L22" i="1"/>
  <c r="L5" i="1"/>
  <c r="L26" i="1"/>
  <c r="L18" i="1"/>
  <c r="L10" i="1"/>
  <c r="L6" i="1"/>
  <c r="L4" i="1"/>
  <c r="L20" i="1"/>
  <c r="L25" i="1"/>
  <c r="L17" i="1"/>
  <c r="L9" i="1"/>
  <c r="L23" i="1"/>
  <c r="L7" i="1"/>
  <c r="L3" i="1"/>
  <c r="L14" i="1"/>
  <c r="L21" i="1"/>
  <c r="L12" i="1"/>
  <c r="L24" i="1"/>
  <c r="L16" i="1"/>
</calcChain>
</file>

<file path=xl/sharedStrings.xml><?xml version="1.0" encoding="utf-8"?>
<sst xmlns="http://schemas.openxmlformats.org/spreadsheetml/2006/main" count="32" uniqueCount="20">
  <si>
    <t>month</t>
  </si>
  <si>
    <t>year</t>
  </si>
  <si>
    <t>stock</t>
  </si>
  <si>
    <t>mutual fund</t>
  </si>
  <si>
    <t>investment_fd</t>
  </si>
  <si>
    <t>emergency_fd</t>
  </si>
  <si>
    <t>opportunity_fd</t>
  </si>
  <si>
    <t>FD</t>
  </si>
  <si>
    <t>bonds</t>
  </si>
  <si>
    <t>gold</t>
  </si>
  <si>
    <t>investment_growth</t>
  </si>
  <si>
    <t>invested</t>
  </si>
  <si>
    <t>cummulative investment</t>
  </si>
  <si>
    <t>name</t>
  </si>
  <si>
    <t>amount</t>
  </si>
  <si>
    <t>Lax</t>
  </si>
  <si>
    <t>surya</t>
  </si>
  <si>
    <t>sabari</t>
  </si>
  <si>
    <t>srivatsan</t>
  </si>
  <si>
    <t>selva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</si>
</sst>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87A14-6A9F-41A8-BEE2-B2380A2C9357}">
  <dimension ref="A1:L29"/>
  <sheetViews>
    <sheetView workbookViewId="0">
      <selection activeCell="D33" sqref="D33"/>
    </sheetView>
  </sheetViews>
  <sheetFormatPr defaultColWidth="15.59765625" defaultRowHeight="14.25" x14ac:dyDescent="0.45"/>
  <cols>
    <col min="7" max="7" width="15.59765625" customWidth="1"/>
    <col min="12" max="12" width="20.86328125" customWidth="1"/>
  </cols>
  <sheetData>
    <row r="1" spans="1:12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</row>
    <row r="2" spans="1:12" x14ac:dyDescent="0.45">
      <c r="A2">
        <v>9</v>
      </c>
      <c r="B2">
        <v>2023</v>
      </c>
      <c r="C2">
        <v>167.95</v>
      </c>
      <c r="H2">
        <f>SUM($E2:$G2)</f>
        <v>0</v>
      </c>
      <c r="K2">
        <f>SUM(C2,D2,H2,I2,J2)</f>
        <v>167.95</v>
      </c>
      <c r="L2">
        <f>SUM($K$2:K2)</f>
        <v>167.95</v>
      </c>
    </row>
    <row r="3" spans="1:12" x14ac:dyDescent="0.45">
      <c r="A3">
        <v>10</v>
      </c>
      <c r="B3">
        <v>2023</v>
      </c>
      <c r="H3">
        <f t="shared" ref="H3:H29" si="0">SUM($E3:$G3)</f>
        <v>0</v>
      </c>
      <c r="K3">
        <f t="shared" ref="K3:K29" si="1">SUM(C3,D3,H3,I3,J3)</f>
        <v>0</v>
      </c>
      <c r="L3">
        <f>SUM($K$2:K3)</f>
        <v>167.95</v>
      </c>
    </row>
    <row r="4" spans="1:12" x14ac:dyDescent="0.45">
      <c r="A4">
        <v>11</v>
      </c>
      <c r="B4">
        <v>2023</v>
      </c>
      <c r="C4">
        <v>299.14999999999998</v>
      </c>
      <c r="H4">
        <f t="shared" si="0"/>
        <v>0</v>
      </c>
      <c r="K4">
        <f t="shared" si="1"/>
        <v>299.14999999999998</v>
      </c>
      <c r="L4">
        <f>SUM($K$2:K4)</f>
        <v>467.09999999999997</v>
      </c>
    </row>
    <row r="5" spans="1:12" x14ac:dyDescent="0.45">
      <c r="A5">
        <v>12</v>
      </c>
      <c r="B5">
        <v>2023</v>
      </c>
      <c r="H5">
        <f t="shared" si="0"/>
        <v>0</v>
      </c>
      <c r="K5">
        <f t="shared" si="1"/>
        <v>0</v>
      </c>
      <c r="L5">
        <f>SUM($K$2:K5)</f>
        <v>467.09999999999997</v>
      </c>
    </row>
    <row r="6" spans="1:12" x14ac:dyDescent="0.45">
      <c r="A6">
        <v>1</v>
      </c>
      <c r="B6">
        <v>2024</v>
      </c>
      <c r="C6">
        <v>126.05</v>
      </c>
      <c r="H6">
        <f t="shared" si="0"/>
        <v>0</v>
      </c>
      <c r="K6">
        <f t="shared" si="1"/>
        <v>126.05</v>
      </c>
      <c r="L6">
        <f>SUM($K$2:K6)</f>
        <v>593.15</v>
      </c>
    </row>
    <row r="7" spans="1:12" x14ac:dyDescent="0.45">
      <c r="A7">
        <v>2</v>
      </c>
      <c r="B7">
        <v>2024</v>
      </c>
      <c r="H7">
        <f t="shared" si="0"/>
        <v>0</v>
      </c>
      <c r="K7">
        <f t="shared" si="1"/>
        <v>0</v>
      </c>
      <c r="L7">
        <f>SUM($K$2:K7)</f>
        <v>593.15</v>
      </c>
    </row>
    <row r="8" spans="1:12" x14ac:dyDescent="0.45">
      <c r="A8">
        <v>3</v>
      </c>
      <c r="B8">
        <v>2024</v>
      </c>
      <c r="H8">
        <f t="shared" si="0"/>
        <v>0</v>
      </c>
      <c r="K8">
        <f t="shared" si="1"/>
        <v>0</v>
      </c>
      <c r="L8">
        <f>SUM($K$2:K8)</f>
        <v>593.15</v>
      </c>
    </row>
    <row r="9" spans="1:12" x14ac:dyDescent="0.45">
      <c r="A9">
        <v>4</v>
      </c>
      <c r="B9">
        <v>2024</v>
      </c>
      <c r="H9">
        <f t="shared" si="0"/>
        <v>0</v>
      </c>
      <c r="K9">
        <f t="shared" si="1"/>
        <v>0</v>
      </c>
      <c r="L9">
        <f>SUM($K$2:K9)</f>
        <v>593.15</v>
      </c>
    </row>
    <row r="10" spans="1:12" x14ac:dyDescent="0.45">
      <c r="A10">
        <v>5</v>
      </c>
      <c r="B10">
        <v>2024</v>
      </c>
      <c r="C10">
        <v>198.55</v>
      </c>
      <c r="H10">
        <f t="shared" si="0"/>
        <v>0</v>
      </c>
      <c r="K10">
        <f t="shared" si="1"/>
        <v>198.55</v>
      </c>
      <c r="L10">
        <f>SUM($K$2:K10)</f>
        <v>791.7</v>
      </c>
    </row>
    <row r="11" spans="1:12" x14ac:dyDescent="0.45">
      <c r="A11">
        <v>6</v>
      </c>
      <c r="B11">
        <v>2024</v>
      </c>
      <c r="H11">
        <f t="shared" si="0"/>
        <v>0</v>
      </c>
      <c r="K11">
        <f t="shared" si="1"/>
        <v>0</v>
      </c>
      <c r="L11">
        <f>SUM($K$2:K11)</f>
        <v>791.7</v>
      </c>
    </row>
    <row r="12" spans="1:12" x14ac:dyDescent="0.45">
      <c r="A12">
        <v>7</v>
      </c>
      <c r="B12">
        <v>2024</v>
      </c>
      <c r="H12">
        <f t="shared" si="0"/>
        <v>0</v>
      </c>
      <c r="K12">
        <f t="shared" si="1"/>
        <v>0</v>
      </c>
      <c r="L12">
        <f>SUM($K$2:K12)</f>
        <v>791.7</v>
      </c>
    </row>
    <row r="13" spans="1:12" x14ac:dyDescent="0.45">
      <c r="A13">
        <v>8</v>
      </c>
      <c r="B13">
        <v>2024</v>
      </c>
      <c r="H13">
        <f t="shared" si="0"/>
        <v>0</v>
      </c>
      <c r="K13">
        <f t="shared" si="1"/>
        <v>0</v>
      </c>
      <c r="L13">
        <f>SUM($K$2:K13)</f>
        <v>791.7</v>
      </c>
    </row>
    <row r="14" spans="1:12" x14ac:dyDescent="0.45">
      <c r="A14">
        <v>9</v>
      </c>
      <c r="B14">
        <v>2024</v>
      </c>
      <c r="H14">
        <f t="shared" si="0"/>
        <v>0</v>
      </c>
      <c r="K14">
        <f t="shared" si="1"/>
        <v>0</v>
      </c>
      <c r="L14">
        <f>SUM($K$2:K14)</f>
        <v>791.7</v>
      </c>
    </row>
    <row r="15" spans="1:12" x14ac:dyDescent="0.45">
      <c r="A15">
        <v>10</v>
      </c>
      <c r="B15">
        <v>2024</v>
      </c>
      <c r="C15">
        <v>1512.06</v>
      </c>
      <c r="H15">
        <f t="shared" si="0"/>
        <v>0</v>
      </c>
      <c r="K15">
        <f t="shared" si="1"/>
        <v>1512.06</v>
      </c>
      <c r="L15">
        <f>SUM($K$2:K15)</f>
        <v>2303.7600000000002</v>
      </c>
    </row>
    <row r="16" spans="1:12" x14ac:dyDescent="0.45">
      <c r="A16">
        <v>11</v>
      </c>
      <c r="B16">
        <v>2024</v>
      </c>
      <c r="H16">
        <f t="shared" si="0"/>
        <v>0</v>
      </c>
      <c r="K16">
        <f t="shared" si="1"/>
        <v>0</v>
      </c>
      <c r="L16">
        <f>SUM($K$2:K16)</f>
        <v>2303.7600000000002</v>
      </c>
    </row>
    <row r="17" spans="1:12" x14ac:dyDescent="0.45">
      <c r="A17">
        <v>12</v>
      </c>
      <c r="B17">
        <v>2024</v>
      </c>
      <c r="H17">
        <f t="shared" si="0"/>
        <v>0</v>
      </c>
      <c r="K17">
        <f t="shared" si="1"/>
        <v>0</v>
      </c>
      <c r="L17">
        <f>SUM($K$2:K17)</f>
        <v>2303.7600000000002</v>
      </c>
    </row>
    <row r="18" spans="1:12" x14ac:dyDescent="0.45">
      <c r="A18">
        <v>1</v>
      </c>
      <c r="B18">
        <v>2025</v>
      </c>
      <c r="H18">
        <f t="shared" si="0"/>
        <v>0</v>
      </c>
      <c r="K18">
        <f t="shared" si="1"/>
        <v>0</v>
      </c>
      <c r="L18">
        <f>SUM($K$2:K18)</f>
        <v>2303.7600000000002</v>
      </c>
    </row>
    <row r="19" spans="1:12" x14ac:dyDescent="0.45">
      <c r="A19">
        <v>2</v>
      </c>
      <c r="B19">
        <v>2025</v>
      </c>
      <c r="H19">
        <f t="shared" si="0"/>
        <v>0</v>
      </c>
      <c r="K19">
        <f t="shared" si="1"/>
        <v>0</v>
      </c>
      <c r="L19">
        <f>SUM($K$2:K19)</f>
        <v>2303.7600000000002</v>
      </c>
    </row>
    <row r="20" spans="1:12" x14ac:dyDescent="0.45">
      <c r="A20">
        <v>3</v>
      </c>
      <c r="B20">
        <v>2025</v>
      </c>
      <c r="H20">
        <f t="shared" si="0"/>
        <v>0</v>
      </c>
      <c r="K20">
        <f t="shared" si="1"/>
        <v>0</v>
      </c>
      <c r="L20">
        <f>SUM($K$2:K20)</f>
        <v>2303.7600000000002</v>
      </c>
    </row>
    <row r="21" spans="1:12" x14ac:dyDescent="0.45">
      <c r="A21">
        <v>4</v>
      </c>
      <c r="B21">
        <v>2025</v>
      </c>
      <c r="H21">
        <f t="shared" si="0"/>
        <v>0</v>
      </c>
      <c r="K21">
        <f t="shared" si="1"/>
        <v>0</v>
      </c>
      <c r="L21">
        <f>SUM($K$2:K21)</f>
        <v>2303.7600000000002</v>
      </c>
    </row>
    <row r="22" spans="1:12" x14ac:dyDescent="0.45">
      <c r="A22">
        <v>5</v>
      </c>
      <c r="B22">
        <v>2025</v>
      </c>
      <c r="H22">
        <f t="shared" si="0"/>
        <v>0</v>
      </c>
      <c r="K22">
        <f t="shared" si="1"/>
        <v>0</v>
      </c>
      <c r="L22">
        <f>SUM($K$2:K22)</f>
        <v>2303.7600000000002</v>
      </c>
    </row>
    <row r="23" spans="1:12" x14ac:dyDescent="0.45">
      <c r="A23">
        <v>6</v>
      </c>
      <c r="B23">
        <v>2025</v>
      </c>
      <c r="H23">
        <f t="shared" si="0"/>
        <v>0</v>
      </c>
      <c r="K23">
        <f t="shared" si="1"/>
        <v>0</v>
      </c>
      <c r="L23">
        <f>SUM($K$2:K23)</f>
        <v>2303.7600000000002</v>
      </c>
    </row>
    <row r="24" spans="1:12" x14ac:dyDescent="0.45">
      <c r="A24">
        <v>7</v>
      </c>
      <c r="B24">
        <v>2025</v>
      </c>
      <c r="C24">
        <v>90.28</v>
      </c>
      <c r="H24">
        <f t="shared" si="0"/>
        <v>0</v>
      </c>
      <c r="K24">
        <f t="shared" si="1"/>
        <v>90.28</v>
      </c>
      <c r="L24">
        <f>SUM($K$2:K24)</f>
        <v>2394.0400000000004</v>
      </c>
    </row>
    <row r="25" spans="1:12" x14ac:dyDescent="0.45">
      <c r="A25">
        <v>8</v>
      </c>
      <c r="B25">
        <v>2025</v>
      </c>
      <c r="H25">
        <f t="shared" si="0"/>
        <v>0</v>
      </c>
      <c r="K25">
        <f t="shared" si="1"/>
        <v>0</v>
      </c>
      <c r="L25">
        <f>SUM($K$2:K25)</f>
        <v>2394.0400000000004</v>
      </c>
    </row>
    <row r="26" spans="1:12" x14ac:dyDescent="0.45">
      <c r="A26">
        <v>9</v>
      </c>
      <c r="B26">
        <v>2025</v>
      </c>
      <c r="H26">
        <f t="shared" si="0"/>
        <v>0</v>
      </c>
      <c r="K26">
        <f t="shared" si="1"/>
        <v>0</v>
      </c>
      <c r="L26">
        <f>SUM($K$2:K26)</f>
        <v>2394.0400000000004</v>
      </c>
    </row>
    <row r="27" spans="1:12" x14ac:dyDescent="0.45">
      <c r="A27">
        <v>10</v>
      </c>
      <c r="B27">
        <v>2025</v>
      </c>
      <c r="H27">
        <f t="shared" si="0"/>
        <v>0</v>
      </c>
      <c r="K27">
        <f t="shared" si="1"/>
        <v>0</v>
      </c>
      <c r="L27">
        <f>SUM($K$2:K27)</f>
        <v>2394.0400000000004</v>
      </c>
    </row>
    <row r="28" spans="1:12" x14ac:dyDescent="0.45">
      <c r="A28">
        <v>11</v>
      </c>
      <c r="B28">
        <v>2025</v>
      </c>
      <c r="C28">
        <v>2343.48</v>
      </c>
      <c r="D28">
        <v>1350</v>
      </c>
      <c r="E28">
        <v>3000</v>
      </c>
      <c r="H28">
        <f t="shared" si="0"/>
        <v>3000</v>
      </c>
      <c r="J28">
        <v>485</v>
      </c>
      <c r="K28">
        <f t="shared" si="1"/>
        <v>7178.48</v>
      </c>
      <c r="L28">
        <f>SUM($K$2:K28)</f>
        <v>9572.52</v>
      </c>
    </row>
    <row r="29" spans="1:12" x14ac:dyDescent="0.45">
      <c r="A29">
        <v>12</v>
      </c>
      <c r="B29">
        <v>2025</v>
      </c>
      <c r="H29">
        <f t="shared" si="0"/>
        <v>0</v>
      </c>
      <c r="J29">
        <v>270</v>
      </c>
      <c r="K29">
        <f t="shared" si="1"/>
        <v>270</v>
      </c>
      <c r="L29">
        <f>SUM($K$2:K29)</f>
        <v>9842.52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2376-176B-41C0-B0AF-F291DE90A08A}">
  <dimension ref="A1:K29"/>
  <sheetViews>
    <sheetView workbookViewId="0">
      <selection activeCell="B33" sqref="B33"/>
    </sheetView>
  </sheetViews>
  <sheetFormatPr defaultColWidth="15.59765625" defaultRowHeight="14.25" x14ac:dyDescent="0.45"/>
  <cols>
    <col min="11" max="11" width="17.73046875" customWidth="1"/>
  </cols>
  <sheetData>
    <row r="1" spans="1:11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>
        <v>9</v>
      </c>
      <c r="B2">
        <v>2023</v>
      </c>
      <c r="C2">
        <v>170.4</v>
      </c>
      <c r="H2">
        <f>SUM($E2:$G2)</f>
        <v>0</v>
      </c>
      <c r="K2">
        <f>SUM(C2:D2,H2,I2,J2)</f>
        <v>170.4</v>
      </c>
    </row>
    <row r="3" spans="1:11" x14ac:dyDescent="0.45">
      <c r="A3">
        <v>10</v>
      </c>
      <c r="B3">
        <v>2023</v>
      </c>
      <c r="C3">
        <v>248.53</v>
      </c>
      <c r="H3">
        <f t="shared" ref="H3:H29" si="0">SUM($E3:$G3)</f>
        <v>0</v>
      </c>
      <c r="K3">
        <f t="shared" ref="K3:K29" si="1">SUM(C3:D3,H3,I3,J3)</f>
        <v>248.53</v>
      </c>
    </row>
    <row r="4" spans="1:11" x14ac:dyDescent="0.45">
      <c r="A4">
        <v>11</v>
      </c>
      <c r="B4">
        <v>2023</v>
      </c>
      <c r="C4">
        <v>497.18</v>
      </c>
      <c r="H4">
        <f t="shared" si="0"/>
        <v>0</v>
      </c>
      <c r="K4">
        <f t="shared" si="1"/>
        <v>497.18</v>
      </c>
    </row>
    <row r="5" spans="1:11" x14ac:dyDescent="0.45">
      <c r="A5">
        <v>12</v>
      </c>
      <c r="B5">
        <v>2023</v>
      </c>
      <c r="C5">
        <v>544.42999999999995</v>
      </c>
      <c r="H5">
        <f t="shared" si="0"/>
        <v>0</v>
      </c>
      <c r="K5">
        <f t="shared" si="1"/>
        <v>544.42999999999995</v>
      </c>
    </row>
    <row r="6" spans="1:11" x14ac:dyDescent="0.45">
      <c r="A6">
        <v>1</v>
      </c>
      <c r="B6">
        <v>2024</v>
      </c>
      <c r="C6">
        <v>732.27</v>
      </c>
      <c r="H6">
        <f t="shared" si="0"/>
        <v>0</v>
      </c>
      <c r="K6">
        <f t="shared" si="1"/>
        <v>732.27</v>
      </c>
    </row>
    <row r="7" spans="1:11" x14ac:dyDescent="0.45">
      <c r="A7">
        <v>2</v>
      </c>
      <c r="B7">
        <v>2024</v>
      </c>
      <c r="C7">
        <v>736.55</v>
      </c>
      <c r="H7">
        <f t="shared" si="0"/>
        <v>0</v>
      </c>
      <c r="K7">
        <f t="shared" si="1"/>
        <v>736.55</v>
      </c>
    </row>
    <row r="8" spans="1:11" x14ac:dyDescent="0.45">
      <c r="A8">
        <v>3</v>
      </c>
      <c r="B8">
        <v>2024</v>
      </c>
      <c r="C8">
        <v>626.87</v>
      </c>
      <c r="H8">
        <f t="shared" si="0"/>
        <v>0</v>
      </c>
      <c r="K8">
        <f t="shared" si="1"/>
        <v>626.87</v>
      </c>
    </row>
    <row r="9" spans="1:11" x14ac:dyDescent="0.45">
      <c r="A9">
        <v>4</v>
      </c>
      <c r="B9">
        <v>2024</v>
      </c>
      <c r="C9">
        <v>690.22</v>
      </c>
      <c r="H9">
        <f t="shared" si="0"/>
        <v>0</v>
      </c>
      <c r="K9">
        <f t="shared" si="1"/>
        <v>690.22</v>
      </c>
    </row>
    <row r="10" spans="1:11" x14ac:dyDescent="0.45">
      <c r="A10">
        <v>5</v>
      </c>
      <c r="B10">
        <v>2024</v>
      </c>
      <c r="C10">
        <v>965.96</v>
      </c>
      <c r="H10">
        <f t="shared" si="0"/>
        <v>0</v>
      </c>
      <c r="K10">
        <f t="shared" si="1"/>
        <v>965.96</v>
      </c>
    </row>
    <row r="11" spans="1:11" x14ac:dyDescent="0.45">
      <c r="A11">
        <v>6</v>
      </c>
      <c r="B11">
        <v>2024</v>
      </c>
      <c r="C11">
        <v>947.78</v>
      </c>
      <c r="H11">
        <f t="shared" si="0"/>
        <v>0</v>
      </c>
      <c r="K11">
        <f t="shared" si="1"/>
        <v>947.78</v>
      </c>
    </row>
    <row r="12" spans="1:11" x14ac:dyDescent="0.45">
      <c r="A12">
        <v>7</v>
      </c>
      <c r="B12">
        <v>2024</v>
      </c>
      <c r="C12">
        <v>1076.53</v>
      </c>
      <c r="H12">
        <f t="shared" si="0"/>
        <v>0</v>
      </c>
      <c r="K12">
        <f t="shared" si="1"/>
        <v>1076.53</v>
      </c>
    </row>
    <row r="13" spans="1:11" x14ac:dyDescent="0.45">
      <c r="A13">
        <v>8</v>
      </c>
      <c r="B13">
        <v>2024</v>
      </c>
      <c r="C13">
        <v>1041.05</v>
      </c>
      <c r="H13">
        <f t="shared" si="0"/>
        <v>0</v>
      </c>
      <c r="K13">
        <f t="shared" si="1"/>
        <v>1041.05</v>
      </c>
    </row>
    <row r="14" spans="1:11" x14ac:dyDescent="0.45">
      <c r="A14">
        <v>9</v>
      </c>
      <c r="B14">
        <v>2024</v>
      </c>
      <c r="C14">
        <v>1067.8900000000001</v>
      </c>
      <c r="H14">
        <f t="shared" si="0"/>
        <v>0</v>
      </c>
      <c r="K14">
        <f t="shared" si="1"/>
        <v>1067.8900000000001</v>
      </c>
    </row>
    <row r="15" spans="1:11" x14ac:dyDescent="0.45">
      <c r="A15">
        <v>10</v>
      </c>
      <c r="B15">
        <v>2024</v>
      </c>
      <c r="C15">
        <v>2528.56</v>
      </c>
      <c r="H15">
        <f t="shared" si="0"/>
        <v>0</v>
      </c>
      <c r="K15">
        <f t="shared" si="1"/>
        <v>2528.56</v>
      </c>
    </row>
    <row r="16" spans="1:11" x14ac:dyDescent="0.45">
      <c r="A16">
        <v>11</v>
      </c>
      <c r="B16">
        <v>2024</v>
      </c>
      <c r="C16">
        <v>2405.8000000000002</v>
      </c>
      <c r="H16">
        <f t="shared" si="0"/>
        <v>0</v>
      </c>
      <c r="K16">
        <f t="shared" si="1"/>
        <v>2405.8000000000002</v>
      </c>
    </row>
    <row r="17" spans="1:11" x14ac:dyDescent="0.45">
      <c r="A17">
        <v>12</v>
      </c>
      <c r="B17">
        <v>2024</v>
      </c>
      <c r="C17">
        <v>2415.5700000000002</v>
      </c>
      <c r="H17">
        <f t="shared" si="0"/>
        <v>0</v>
      </c>
      <c r="K17">
        <f t="shared" si="1"/>
        <v>2415.5700000000002</v>
      </c>
    </row>
    <row r="18" spans="1:11" x14ac:dyDescent="0.45">
      <c r="A18">
        <v>1</v>
      </c>
      <c r="B18">
        <v>2025</v>
      </c>
      <c r="C18">
        <v>2194.42</v>
      </c>
      <c r="H18">
        <f t="shared" si="0"/>
        <v>0</v>
      </c>
      <c r="K18">
        <f t="shared" si="1"/>
        <v>2194.42</v>
      </c>
    </row>
    <row r="19" spans="1:11" x14ac:dyDescent="0.45">
      <c r="A19">
        <v>2</v>
      </c>
      <c r="B19">
        <v>2025</v>
      </c>
      <c r="C19">
        <v>2075.7399999999998</v>
      </c>
      <c r="H19">
        <f t="shared" si="0"/>
        <v>0</v>
      </c>
      <c r="K19">
        <f t="shared" si="1"/>
        <v>2075.7399999999998</v>
      </c>
    </row>
    <row r="20" spans="1:11" x14ac:dyDescent="0.45">
      <c r="A20">
        <v>3</v>
      </c>
      <c r="B20">
        <v>2025</v>
      </c>
      <c r="C20">
        <v>2162.75</v>
      </c>
      <c r="H20">
        <f t="shared" si="0"/>
        <v>0</v>
      </c>
      <c r="K20">
        <f t="shared" si="1"/>
        <v>2162.75</v>
      </c>
    </row>
    <row r="21" spans="1:11" x14ac:dyDescent="0.45">
      <c r="A21">
        <v>4</v>
      </c>
      <c r="B21">
        <v>2025</v>
      </c>
      <c r="C21">
        <v>2216.61</v>
      </c>
      <c r="H21">
        <f t="shared" si="0"/>
        <v>0</v>
      </c>
      <c r="K21">
        <f t="shared" si="1"/>
        <v>2216.61</v>
      </c>
    </row>
    <row r="22" spans="1:11" x14ac:dyDescent="0.45">
      <c r="A22">
        <v>5</v>
      </c>
      <c r="B22">
        <v>2025</v>
      </c>
      <c r="C22">
        <v>2279.15</v>
      </c>
      <c r="H22">
        <f t="shared" si="0"/>
        <v>0</v>
      </c>
      <c r="K22">
        <f t="shared" si="1"/>
        <v>2279.15</v>
      </c>
    </row>
    <row r="23" spans="1:11" x14ac:dyDescent="0.45">
      <c r="A23">
        <v>6</v>
      </c>
      <c r="B23">
        <v>2025</v>
      </c>
      <c r="C23">
        <v>2373.79</v>
      </c>
      <c r="H23">
        <f t="shared" si="0"/>
        <v>0</v>
      </c>
      <c r="K23">
        <f t="shared" si="1"/>
        <v>2373.79</v>
      </c>
    </row>
    <row r="24" spans="1:11" x14ac:dyDescent="0.45">
      <c r="A24">
        <v>7</v>
      </c>
      <c r="B24">
        <v>2025</v>
      </c>
      <c r="C24">
        <v>2382.5700000000002</v>
      </c>
      <c r="H24">
        <f t="shared" si="0"/>
        <v>0</v>
      </c>
      <c r="K24">
        <f t="shared" si="1"/>
        <v>2382.5700000000002</v>
      </c>
    </row>
    <row r="25" spans="1:11" x14ac:dyDescent="0.45">
      <c r="A25">
        <v>8</v>
      </c>
      <c r="B25">
        <v>2025</v>
      </c>
      <c r="C25">
        <v>2352.52</v>
      </c>
      <c r="H25">
        <f t="shared" si="0"/>
        <v>0</v>
      </c>
      <c r="K25">
        <f t="shared" si="1"/>
        <v>2352.52</v>
      </c>
    </row>
    <row r="26" spans="1:11" x14ac:dyDescent="0.45">
      <c r="A26">
        <v>9</v>
      </c>
      <c r="B26">
        <v>2025</v>
      </c>
      <c r="C26">
        <v>2409.2199999999998</v>
      </c>
      <c r="H26">
        <f t="shared" si="0"/>
        <v>0</v>
      </c>
      <c r="K26">
        <f t="shared" si="1"/>
        <v>2409.2199999999998</v>
      </c>
    </row>
    <row r="27" spans="1:11" x14ac:dyDescent="0.45">
      <c r="A27">
        <v>10</v>
      </c>
      <c r="B27">
        <v>2025</v>
      </c>
      <c r="C27">
        <v>2530.6799999999998</v>
      </c>
      <c r="H27">
        <f t="shared" si="0"/>
        <v>0</v>
      </c>
      <c r="K27">
        <f t="shared" si="1"/>
        <v>2530.6799999999998</v>
      </c>
    </row>
    <row r="28" spans="1:11" x14ac:dyDescent="0.45">
      <c r="A28">
        <v>11</v>
      </c>
      <c r="B28">
        <v>2025</v>
      </c>
      <c r="C28">
        <v>3614.71</v>
      </c>
      <c r="D28">
        <v>1350</v>
      </c>
      <c r="E28">
        <v>3000</v>
      </c>
      <c r="H28">
        <f t="shared" si="0"/>
        <v>3000</v>
      </c>
      <c r="J28">
        <v>450</v>
      </c>
      <c r="K28">
        <f t="shared" si="1"/>
        <v>8414.7099999999991</v>
      </c>
    </row>
    <row r="29" spans="1:11" x14ac:dyDescent="0.45">
      <c r="A29">
        <v>12</v>
      </c>
      <c r="B29">
        <v>2025</v>
      </c>
      <c r="C29">
        <v>5216.07</v>
      </c>
      <c r="D29">
        <v>1353</v>
      </c>
      <c r="E29">
        <v>3016.82</v>
      </c>
      <c r="H29">
        <f t="shared" si="0"/>
        <v>3016.82</v>
      </c>
      <c r="J29">
        <v>718.02</v>
      </c>
      <c r="K29">
        <f t="shared" si="1"/>
        <v>10303.91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1D81C-14C3-4651-958B-9522008238E0}">
  <dimension ref="A1:D6"/>
  <sheetViews>
    <sheetView tabSelected="1" workbookViewId="0">
      <selection activeCell="C7" sqref="C7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13</v>
      </c>
      <c r="D1" t="s">
        <v>14</v>
      </c>
    </row>
    <row r="2" spans="1:4" x14ac:dyDescent="0.45">
      <c r="A2">
        <v>1</v>
      </c>
      <c r="B2">
        <v>2025</v>
      </c>
      <c r="C2" t="s">
        <v>15</v>
      </c>
      <c r="D2">
        <v>3500</v>
      </c>
    </row>
    <row r="3" spans="1:4" x14ac:dyDescent="0.45">
      <c r="A3">
        <v>10</v>
      </c>
      <c r="B3">
        <v>2025</v>
      </c>
      <c r="C3" t="s">
        <v>16</v>
      </c>
      <c r="D3">
        <v>1000</v>
      </c>
    </row>
    <row r="4" spans="1:4" x14ac:dyDescent="0.45">
      <c r="A4">
        <v>11</v>
      </c>
      <c r="B4">
        <v>2025</v>
      </c>
      <c r="C4" t="s">
        <v>18</v>
      </c>
      <c r="D4">
        <v>600</v>
      </c>
    </row>
    <row r="5" spans="1:4" x14ac:dyDescent="0.45">
      <c r="A5">
        <v>11</v>
      </c>
      <c r="B5">
        <v>2025</v>
      </c>
      <c r="C5" t="s">
        <v>17</v>
      </c>
      <c r="D5">
        <v>10000</v>
      </c>
    </row>
    <row r="6" spans="1:4" x14ac:dyDescent="0.45">
      <c r="A6">
        <v>12</v>
      </c>
      <c r="B6">
        <v>2025</v>
      </c>
      <c r="C6" t="s">
        <v>19</v>
      </c>
      <c r="D6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investment</vt:lpstr>
      <vt:lpstr>growth</vt:lpstr>
      <vt:lpstr>lend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Deepaneesh R V</dc:creator>
  <cp:lastModifiedBy>Deepaneesh R V</cp:lastModifiedBy>
  <dcterms:created xsi:type="dcterms:W3CDTF">2025-12-26T06:09:17Z</dcterms:created>
  <dcterms:modified xsi:type="dcterms:W3CDTF">2025-12-26T07:52:05Z</dcterms:modified>
</cp:coreProperties>
</file>